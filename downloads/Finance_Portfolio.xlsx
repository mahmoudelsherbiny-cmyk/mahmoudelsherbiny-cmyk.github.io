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1825de89b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89c7a74c7844769"/>
    <x:sheet xmlns:r="http://schemas.openxmlformats.org/officeDocument/2006/relationships" name="Financial Analysis" sheetId="2" r:id="R10d8693cb941434f"/>
    <x:sheet xmlns:r="http://schemas.openxmlformats.org/officeDocument/2006/relationships" name="Budget vs Actual" sheetId="3" r:id="R282e3d96946f41e2"/>
    <x:sheet xmlns:r="http://schemas.openxmlformats.org/officeDocument/2006/relationships" name="Cost &amp; Profitability" sheetId="4" r:id="R92cdd314cbe34d83"/>
    <x:sheet xmlns:r="http://schemas.openxmlformats.org/officeDocument/2006/relationships" name="Internal Controls" sheetId="5" r:id="R8d169b44a36d4758"/>
    <x:sheet xmlns:r="http://schemas.openxmlformats.org/officeDocument/2006/relationships" name="Dashboard" sheetId="6" r:id="Rba0b93181acd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;[Red](0.0%);-"/>
    <x:numFmt numFmtId="202" formatCode="0.0x;[Red](0.0x);-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8"/>
      <x:color rgb="FF008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2E8B57"/>
      </x:patternFill>
    </x:fill>
    <x:fill>
      <x:patternFill patternType="solid">
        <x:fgColor rgb="FF7030A0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0" fontId="7" fillId="5" borderId="0" xfId="0" applyNumberFormat="1" applyFont="1" applyFill="1" applyBorder="1" applyAlignment="1">
      <x:alignment horizontal="center"/>
    </x:xf>
    <x:xf numFmtId="20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200" fontId="7" fillId="5" borderId="1" xfId="0" applyNumberFormat="1" applyFont="1" applyFill="1" applyBorder="1" applyAlignment="1">
      <x:alignment horizontal="center"/>
    </x:xf>
    <x:xf numFmtId="200" fontId="7" fillId="5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200" fontId="7" fillId="9" borderId="0" xfId="0" applyNumberFormat="1" applyFont="1" applyFill="1" applyBorder="1"/>
    <x:xf numFmtId="200" fontId="7" fillId="9" borderId="0" xfId="0" applyNumberFormat="1" applyFont="1" applyFill="1" applyBorder="1" applyAlignment="1">
      <x:alignment horizontal="center"/>
    </x:xf>
    <x:xf numFmtId="200" fontId="7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200" fontId="7" fillId="9" borderId="1" xfId="0" applyNumberFormat="1" applyFont="1" applyFill="1" applyBorder="1"/>
    <x:xf numFmtId="200" fontId="7" fillId="9" borderId="1" xfId="0" applyNumberFormat="1" applyFont="1" applyFill="1" applyBorder="1" applyAlignment="1">
      <x:alignment horizontal="center"/>
    </x:xf>
    <x:xf numFmtId="200" fontId="7" fillId="9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/>
    <x:xf numFmtId="200" fontId="7" fillId="3" borderId="1" xfId="0" applyNumberFormat="1" applyFont="1" applyFill="1" applyBorder="1"/>
    <x:xf numFmtId="200" fontId="7" fillId="3" borderId="1" xfId="0" applyNumberFormat="1" applyFont="1" applyFill="1" applyBorder="1" applyAlignment="1">
      <x:alignment horizontal="center"/>
    </x:xf>
    <x:xf numFmtId="200" fontId="7" fillId="3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200" fontId="7" fillId="10" borderId="0" xfId="0" applyNumberFormat="1" applyFont="1" applyFill="1" applyBorder="1"/>
    <x:xf numFmtId="200" fontId="7" fillId="10" borderId="0" xfId="0" applyNumberFormat="1" applyFont="1" applyFill="1" applyBorder="1" applyAlignment="1">
      <x:alignment horizontal="center"/>
    </x:xf>
    <x:xf numFmtId="200" fontId="7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200" fontId="7" fillId="10" borderId="1" xfId="0" applyNumberFormat="1" applyFont="1" applyFill="1" applyBorder="1"/>
    <x:xf numFmtId="200" fontId="7" fillId="10" borderId="1" xfId="0" applyNumberFormat="1" applyFont="1" applyFill="1" applyBorder="1" applyAlignment="1">
      <x:alignment horizontal="center"/>
    </x:xf>
    <x:xf numFmtId="200" fontId="7" fillId="1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f4137f3224fa5" /><Relationship Type="http://schemas.openxmlformats.org/officeDocument/2006/relationships/theme" Target="/xl/theme/theme1.xml" Id="Re407c3e78a314e75" /><Relationship Type="http://schemas.openxmlformats.org/officeDocument/2006/relationships/sharedStrings" Target="/xl/sharedStrings.xml" Id="R6a0e2150add14cbd" /><Relationship Type="http://schemas.openxmlformats.org/officeDocument/2006/relationships/worksheet" Target="/xl/worksheets/sheet1.xml" Id="Rd89c7a74c7844769" /><Relationship Type="http://schemas.openxmlformats.org/officeDocument/2006/relationships/worksheet" Target="/xl/worksheets/sheet2.xml" Id="R10d8693cb941434f" /><Relationship Type="http://schemas.openxmlformats.org/officeDocument/2006/relationships/worksheet" Target="/xl/worksheets/sheet3.xml" Id="R282e3d96946f41e2" /><Relationship Type="http://schemas.openxmlformats.org/officeDocument/2006/relationships/worksheet" Target="/xl/worksheets/sheet4.xml" Id="R92cdd314cbe34d83" /><Relationship Type="http://schemas.openxmlformats.org/officeDocument/2006/relationships/worksheet" Target="/xl/worksheets/sheet5.xml" Id="R8d169b44a36d4758" /><Relationship Type="http://schemas.openxmlformats.org/officeDocument/2006/relationships/worksheet" Target="/xl/worksheets/sheet6.xml" Id="Rba0b93181acd4e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429c2a853e4905" /><Relationship Type="http://schemas.openxmlformats.org/officeDocument/2006/relationships/chart" Target="/xl/drawings/charts/chart2.xml" Id="R89c8feaed25f4f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FY2025 vs FY2026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FY2025</c:v>
          </c:tx>
          <c:cat>
            <c:strRef>
              <c:f>'Dashboard'!$F$10:$F$12</c:f>
              <c:strCache>
                <c:ptCount val="0"/>
              </c:strCache>
            </c:strRef>
          </c:cat>
          <c:val>
            <c:numRef>
              <c:f>'Dashboard'!$G$10:$G$12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FY2026</c:v>
          </c:tx>
          <c:cat>
            <c:strRef>
              <c:f>'Dashboard'!$F$10:$F$12</c:f>
              <c:strCache>
                <c:ptCount val="0"/>
              </c:strCache>
            </c:strRef>
          </c:cat>
          <c:val>
            <c:numRef>
              <c:f>'Dashboard'!$H$10:$H$12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vs Actual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Budget</c:v>
          </c:tx>
          <c:cat>
            <c:strRef>
              <c:f>'Dashboard'!$A$20:$A$23</c:f>
              <c:strCache>
                <c:ptCount val="0"/>
              </c:strCache>
            </c:strRef>
          </c:cat>
          <c:val>
            <c:numRef>
              <c:f>'Dashboard'!$B$20:$B$23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'Dashboard'!$A$20:$A$23</c:f>
              <c:strCache>
                <c:ptCount val="0"/>
              </c:strCache>
            </c:strRef>
          </c:cat>
          <c:val>
            <c:numRef>
              <c:f>'Dashboard'!$C$20:$C$23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429c2a853e4905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c8feaed25f4f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1d1f2ac8a12432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.380000114440918" hidden="0" customWidth="1"/>
    <x:col min="3" max="3" width="11.380000114440918" hidden="0" customWidth="1"/>
    <x:col min="4" max="4" width="11.880000114440918" hidden="0" customWidth="1"/>
    <x:col min="5" max="5" width="7.130000114440918" hidden="0" customWidth="1"/>
    <x:col min="6" max="6" width="11" hidden="0" customWidth="1"/>
    <x:col min="7" max="7" width="28" hidden="0" customWidth="1"/>
  </x:cols>
  <x:sheetData>
    <x:row r="1" ht="30" customHeight="1">
      <x:c r="A1" s="4" t="str">
        <x:v>Portfolio Case – Illustrative Financial Data</x:v>
      </x:c>
      <x:c r="B1" s="4"/>
      <x:c r="C1" s="4"/>
      <x:c r="D1" s="4"/>
      <x:c r="E1" s="4"/>
      <x:c r="F1" s="4"/>
      <x:c r="G1" s="4"/>
    </x:row>
    <x:row r="2">
      <x:c r="A2" s="10" t="inlineStr">
        <x:is>
          <x:t>Synthetic data created solely for portfolio demonstration. Units: SAR '000 unless stated otherwise.</x:t>
        </x:is>
      </x:c>
      <x:c r="B2" s="10"/>
      <x:c r="C2" s="10"/>
      <x:c r="D2" s="10"/>
      <x:c r="E2" s="10"/>
      <x:c r="F2" s="10"/>
      <x:c r="G2" s="10"/>
    </x:row>
    <x:row r="4">
      <x:c r="A4" s="18" t="str">
        <x:v>Metric</x:v>
      </x:c>
      <x:c r="B4" s="18" t="str">
        <x:v>FY2025 Actual</x:v>
      </x:c>
      <x:c r="C4" s="18" t="str">
        <x:v>FY2026 Actual</x:v>
      </x:c>
      <x:c r="D4" s="18" t="str">
        <x:v>FY2026 Budget</x:v>
      </x:c>
      <x:c r="E4" s="18" t="str">
        <x:v>Unit</x:v>
      </x:c>
      <x:c r="F4" s="18" t="str">
        <x:v>Category</x:v>
      </x:c>
      <x:c r="G4" s="18" t="str">
        <x:v>Source / Note</x:v>
      </x:c>
    </x:row>
    <x:row r="5">
      <x:c r="A5" t="str">
        <x:v>Revenue</x:v>
      </x:c>
      <x:c r="B5" s="26" t="n">
        <x:v>18500</x:v>
      </x:c>
      <x:c r="C5" s="26" t="n">
        <x:v>22400</x:v>
      </x:c>
      <x:c r="D5" s="26" t="n">
        <x:v>23000</x:v>
      </x:c>
      <x:c r="E5" t="inlineStr">
        <x:is>
          <x:t>SAR '000</x:t>
        </x:is>
      </x:c>
      <x:c r="F5" t="str">
        <x:v>P&amp;L</x:v>
      </x:c>
      <x:c r="G5" t="str">
        <x:v>Synthetic portfolio case</x:v>
      </x:c>
    </x:row>
    <x:row r="6">
      <x:c r="A6" t="str">
        <x:v>COGS</x:v>
      </x:c>
      <x:c r="B6" s="26" t="n">
        <x:v>11800</x:v>
      </x:c>
      <x:c r="C6" s="26" t="n">
        <x:v>13950</x:v>
      </x:c>
      <x:c r="D6" s="26" t="n">
        <x:v>14100</x:v>
      </x:c>
      <x:c r="E6" t="inlineStr">
        <x:is>
          <x:t>SAR '000</x:t>
        </x:is>
      </x:c>
      <x:c r="F6" t="str">
        <x:v>P&amp;L</x:v>
      </x:c>
      <x:c r="G6" t="str">
        <x:v>Synthetic portfolio case</x:v>
      </x:c>
    </x:row>
    <x:row r="7">
      <x:c r="A7" t="str">
        <x:v>Operating Expenses</x:v>
      </x:c>
      <x:c r="B7" s="26" t="n">
        <x:v>3900</x:v>
      </x:c>
      <x:c r="C7" s="26" t="n">
        <x:v>4550</x:v>
      </x:c>
      <x:c r="D7" s="26" t="n">
        <x:v>4300</x:v>
      </x:c>
      <x:c r="E7" t="inlineStr">
        <x:is>
          <x:t>SAR '000</x:t>
        </x:is>
      </x:c>
      <x:c r="F7" t="str">
        <x:v>P&amp;L</x:v>
      </x:c>
      <x:c r="G7" t="str">
        <x:v>Synthetic portfolio case</x:v>
      </x:c>
    </x:row>
    <x:row r="8">
      <x:c r="A8" t="str">
        <x:v>Interest Expense</x:v>
      </x:c>
      <x:c r="B8" s="26" t="n">
        <x:v>420</x:v>
      </x:c>
      <x:c r="C8" s="26" t="n">
        <x:v>510</x:v>
      </x:c>
      <x:c r="D8" s="26" t="n">
        <x:v>480</x:v>
      </x:c>
      <x:c r="E8" t="inlineStr">
        <x:is>
          <x:t>SAR '000</x:t>
        </x:is>
      </x:c>
      <x:c r="F8" t="str">
        <x:v>P&amp;L</x:v>
      </x:c>
      <x:c r="G8" t="str">
        <x:v>Synthetic portfolio case</x:v>
      </x:c>
    </x:row>
    <x:row r="9">
      <x:c r="A9" t="str">
        <x:v>Tax Expense</x:v>
      </x:c>
      <x:c r="B9" s="26" t="n">
        <x:v>520</x:v>
      </x:c>
      <x:c r="C9" s="26" t="n">
        <x:v>710</x:v>
      </x:c>
      <x:c r="D9" s="26" t="n">
        <x:v>760</x:v>
      </x:c>
      <x:c r="E9" t="inlineStr">
        <x:is>
          <x:t>SAR '000</x:t>
        </x:is>
      </x:c>
      <x:c r="F9" t="str">
        <x:v>P&amp;L</x:v>
      </x:c>
      <x:c r="G9" t="str">
        <x:v>Synthetic portfolio case</x:v>
      </x:c>
    </x:row>
    <x:row r="10">
      <x:c r="A10" t="str">
        <x:v>Cash</x:v>
      </x:c>
      <x:c r="B10" s="26" t="n">
        <x:v>1800</x:v>
      </x:c>
      <x:c r="C10" s="26" t="n">
        <x:v>2250</x:v>
      </x:c>
      <x:c r="D10" s="26" t="n">
        <x:v>2500</x:v>
      </x:c>
      <x:c r="E10" t="inlineStr">
        <x:is>
          <x:t>SAR '000</x:t>
        </x:is>
      </x:c>
      <x:c r="F10" t="str">
        <x:v>Balance Sheet</x:v>
      </x:c>
      <x:c r="G10" t="str">
        <x:v>Synthetic portfolio case</x:v>
      </x:c>
    </x:row>
    <x:row r="11">
      <x:c r="A11" t="str">
        <x:v>Accounts Receivable</x:v>
      </x:c>
      <x:c r="B11" s="26" t="n">
        <x:v>3100</x:v>
      </x:c>
      <x:c r="C11" s="26" t="n">
        <x:v>3900</x:v>
      </x:c>
      <x:c r="D11" s="26" t="n">
        <x:v>3600</x:v>
      </x:c>
      <x:c r="E11" t="inlineStr">
        <x:is>
          <x:t>SAR '000</x:t>
        </x:is>
      </x:c>
      <x:c r="F11" t="str">
        <x:v>Balance Sheet</x:v>
      </x:c>
      <x:c r="G11" t="str">
        <x:v>Synthetic portfolio case</x:v>
      </x:c>
    </x:row>
    <x:row r="12">
      <x:c r="A12" t="str">
        <x:v>Inventory</x:v>
      </x:c>
      <x:c r="B12" s="26" t="n">
        <x:v>2700</x:v>
      </x:c>
      <x:c r="C12" s="26" t="n">
        <x:v>3500</x:v>
      </x:c>
      <x:c r="D12" s="26" t="n">
        <x:v>3000</x:v>
      </x:c>
      <x:c r="E12" t="inlineStr">
        <x:is>
          <x:t>SAR '000</x:t>
        </x:is>
      </x:c>
      <x:c r="F12" t="str">
        <x:v>Balance Sheet</x:v>
      </x:c>
      <x:c r="G12" t="str">
        <x:v>Synthetic portfolio case</x:v>
      </x:c>
    </x:row>
    <x:row r="13">
      <x:c r="A13" t="str">
        <x:v>Other Current Assets</x:v>
      </x:c>
      <x:c r="B13" s="26" t="n">
        <x:v>600</x:v>
      </x:c>
      <x:c r="C13" s="26" t="n">
        <x:v>700</x:v>
      </x:c>
      <x:c r="D13" s="26" t="n">
        <x:v>650</x:v>
      </x:c>
      <x:c r="E13" t="inlineStr">
        <x:is>
          <x:t>SAR '000</x:t>
        </x:is>
      </x:c>
      <x:c r="F13" t="str">
        <x:v>Balance Sheet</x:v>
      </x:c>
      <x:c r="G13" t="str">
        <x:v>Synthetic portfolio case</x:v>
      </x:c>
    </x:row>
    <x:row r="14">
      <x:c r="A14" t="str">
        <x:v>Current Liabilities</x:v>
      </x:c>
      <x:c r="B14" s="26" t="n">
        <x:v>4100</x:v>
      </x:c>
      <x:c r="C14" s="26" t="n">
        <x:v>5200</x:v>
      </x:c>
      <x:c r="D14" s="26" t="n">
        <x:v>4900</x:v>
      </x:c>
      <x:c r="E14" t="inlineStr">
        <x:is>
          <x:t>SAR '000</x:t>
        </x:is>
      </x:c>
      <x:c r="F14" t="str">
        <x:v>Balance Sheet</x:v>
      </x:c>
      <x:c r="G14" t="str">
        <x:v>Synthetic portfolio case</x:v>
      </x:c>
    </x:row>
    <x:row r="15">
      <x:c r="A15" t="str">
        <x:v>Total Assets</x:v>
      </x:c>
      <x:c r="B15" s="26" t="n">
        <x:v>14800</x:v>
      </x:c>
      <x:c r="C15" s="26" t="n">
        <x:v>17600</x:v>
      </x:c>
      <x:c r="D15" s="26" t="n">
        <x:v>17000</x:v>
      </x:c>
      <x:c r="E15" t="inlineStr">
        <x:is>
          <x:t>SAR '000</x:t>
        </x:is>
      </x:c>
      <x:c r="F15" t="str">
        <x:v>Balance Sheet</x:v>
      </x:c>
      <x:c r="G15" t="str">
        <x:v>Synthetic portfolio case</x:v>
      </x:c>
    </x:row>
    <x:row r="16">
      <x:c r="A16" t="str">
        <x:v>Total Equity</x:v>
      </x:c>
      <x:c r="B16" s="26" t="n">
        <x:v>7200</x:v>
      </x:c>
      <x:c r="C16" s="26" t="n">
        <x:v>8400</x:v>
      </x:c>
      <x:c r="D16" s="26" t="n">
        <x:v>8500</x:v>
      </x:c>
      <x:c r="E16" t="inlineStr">
        <x:is>
          <x:t>SAR '000</x:t>
        </x:is>
      </x:c>
      <x:c r="F16" t="str">
        <x:v>Balance Sheet</x:v>
      </x:c>
      <x:c r="G16" t="str">
        <x:v>Synthetic portfolio case</x:v>
      </x:c>
    </x:row>
    <x:row r="17">
      <x:c r="A17" t="str">
        <x:v>Total Debt</x:v>
      </x:c>
      <x:c r="B17" s="26" t="n">
        <x:v>4200</x:v>
      </x:c>
      <x:c r="C17" s="26" t="n">
        <x:v>5100</x:v>
      </x:c>
      <x:c r="D17" s="26" t="n">
        <x:v>4800</x:v>
      </x:c>
      <x:c r="E17" t="inlineStr">
        <x:is>
          <x:t>SAR '000</x:t>
        </x:is>
      </x:c>
      <x:c r="F17" t="str">
        <x:v>Balance Sheet</x:v>
      </x:c>
      <x:c r="G17" t="str">
        <x:v>Synthetic portfolio case</x:v>
      </x:c>
    </x:row>
    <x:row r="18">
      <x:c r="A18" t="str">
        <x:v>Operating Cash Flow</x:v>
      </x:c>
      <x:c r="B18" s="26" t="n">
        <x:v>1900</x:v>
      </x:c>
      <x:c r="C18" s="26" t="n">
        <x:v>2600</x:v>
      </x:c>
      <x:c r="D18" s="26" t="n">
        <x:v>2800</x:v>
      </x:c>
      <x:c r="E18" t="inlineStr">
        <x:is>
          <x:t>SAR '000</x:t>
        </x:is>
      </x:c>
      <x:c r="F18" t="str">
        <x:v>Cash Flow</x:v>
      </x:c>
      <x:c r="G18" t="str">
        <x:v>Synthetic portfolio case</x:v>
      </x:c>
    </x:row>
    <x:row r="19">
      <x:c r="A19" t="str">
        <x:v>Capital Expenditure</x:v>
      </x:c>
      <x:c r="B19" s="26" t="n">
        <x:v>900</x:v>
      </x:c>
      <x:c r="C19" s="26" t="n">
        <x:v>1250</x:v>
      </x:c>
      <x:c r="D19" s="26" t="n">
        <x:v>1200</x:v>
      </x:c>
      <x:c r="E19" t="inlineStr">
        <x:is>
          <x:t>SAR '000</x:t>
        </x:is>
      </x:c>
      <x:c r="F19" t="str">
        <x:v>Cash Flow</x:v>
      </x:c>
      <x:c r="G19" t="str">
        <x:v>Synthetic portfolio case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.130000114440918" hidden="0" customWidth="1"/>
    <x:col min="3" max="3" width="6.130000114440918" hidden="0" customWidth="1"/>
    <x:col min="4" max="4" width="6.130000114440918" hidden="0" customWidth="1"/>
    <x:col min="6" max="6" width="24" hidden="0" customWidth="1"/>
    <x:col min="7" max="7" width="6.130000114440918" hidden="0" customWidth="1"/>
    <x:col min="8" max="8" width="6.130000114440918" hidden="0" customWidth="1"/>
  </x:cols>
  <x:sheetData>
    <x:row r="1" ht="30" customHeight="1">
      <x:c r="A1" s="4" t="str">
        <x:v>Financial Analysis Report</x:v>
      </x:c>
      <x:c r="B1" s="4"/>
      <x:c r="C1" s="4"/>
      <x:c r="D1" s="4"/>
      <x:c r="E1" s="4"/>
      <x:c r="F1" s="4"/>
      <x:c r="G1" s="4"/>
      <x:c r="H1" s="4"/>
    </x:row>
    <x:row r="2">
      <x:c r="A2" s="29" t="inlineStr">
        <x:is>
          <x:t>Illustrative company | FY2026 vs FY2025 | Units: SAR '000</x:t>
        </x:is>
      </x:c>
      <x:c r="B2" s="29"/>
      <x:c r="C2" s="29"/>
      <x:c r="D2" s="29"/>
      <x:c r="E2" s="29"/>
      <x:c r="F2" s="29"/>
      <x:c r="G2" s="29"/>
      <x:c r="H2" s="29"/>
    </x:row>
    <x:row r="4">
      <x:c r="A4" s="33" t="str">
        <x:v>Profitability &amp; Margins</x:v>
      </x:c>
      <x:c r="B4" s="33"/>
      <x:c r="C4" s="33"/>
      <x:c r="D4" s="33"/>
      <x:c r="F4" s="46" t="str">
        <x:v>Liquidity &amp; Working Capital</x:v>
      </x:c>
      <x:c r="G4" s="46"/>
      <x:c r="H4" s="46"/>
    </x:row>
    <x:row r="5">
      <x:c r="A5" s="18" t="str">
        <x:v>Metric</x:v>
      </x:c>
      <x:c r="B5" s="18" t="str">
        <x:v>FY2025</x:v>
      </x:c>
      <x:c r="C5" s="18" t="str">
        <x:v>FY2026</x:v>
      </x:c>
      <x:c r="D5" s="18" t="str">
        <x:v>Change</x:v>
      </x:c>
      <x:c r="F5" s="18" t="str">
        <x:v>Metric</x:v>
      </x:c>
      <x:c r="G5" s="18" t="str">
        <x:v>FY2025</x:v>
      </x:c>
      <x:c r="H5" s="18" t="str">
        <x:v>FY2026</x:v>
      </x:c>
    </x:row>
    <x:row r="6">
      <x:c r="A6" t="str">
        <x:v>Revenue</x:v>
      </x:c>
      <x:c r="B6" s="38" t="n">
        <x:f>'Inputs'!B5</x:f>
        <x:v>18500</x:v>
      </x:c>
      <x:c r="C6" s="38" t="n">
        <x:f>'Inputs'!C5</x:f>
        <x:v>22400</x:v>
      </x:c>
      <x:c r="D6" s="41" t="n">
        <x:f>C6/B6-1</x:f>
        <x:v>0.21081081081081088</x:v>
      </x:c>
      <x:c r="F6" t="str">
        <x:v>Working Capital</x:v>
      </x:c>
      <x:c r="G6" s="38" t="n">
        <x:f>'Inputs'!B10+'Inputs'!B11+'Inputs'!B12+'Inputs'!B13-'Inputs'!B14</x:f>
        <x:v>4100</x:v>
      </x:c>
      <x:c r="H6" s="38" t="n">
        <x:f>'Inputs'!C10+'Inputs'!C11+'Inputs'!C12+'Inputs'!C13-'Inputs'!C14</x:f>
        <x:v>5150</x:v>
      </x:c>
    </x:row>
    <x:row r="7">
      <x:c r="A7" t="str">
        <x:v>Gross Profit</x:v>
      </x:c>
      <x:c r="B7" s="38" t="n">
        <x:f>'Inputs'!B5-'Inputs'!B6</x:f>
        <x:v>6700</x:v>
      </x:c>
      <x:c r="C7" s="38" t="n">
        <x:f>'Inputs'!C5-'Inputs'!C6</x:f>
        <x:v>8450</x:v>
      </x:c>
      <x:c r="D7" s="41" t="n">
        <x:f>C7/B7-1</x:f>
        <x:v>0.26119402985074625</x:v>
      </x:c>
      <x:c r="F7" t="str">
        <x:v>Current Ratio</x:v>
      </x:c>
      <x:c r="G7" s="50" t="n">
        <x:f>('Inputs'!B10+'Inputs'!B11+'Inputs'!B12+'Inputs'!B13)/'Inputs'!B14</x:f>
        <x:v>2</x:v>
      </x:c>
      <x:c r="H7" s="50" t="n">
        <x:f>('Inputs'!C10+'Inputs'!C11+'Inputs'!C12+'Inputs'!C13)/'Inputs'!C14</x:f>
        <x:v>1.9903846153846154</x:v>
      </x:c>
    </x:row>
    <x:row r="8">
      <x:c r="A8" t="str">
        <x:v>Gross Margin</x:v>
      </x:c>
      <x:c r="B8" s="40" t="n">
        <x:f>(B6-'Inputs'!B6)/B6</x:f>
        <x:v>0.3621621621621622</x:v>
      </x:c>
      <x:c r="C8" s="40" t="n">
        <x:f>(C6-'Inputs'!C6)/C6</x:f>
        <x:v>0.37723214285714285</x:v>
      </x:c>
      <x:c r="D8" s="41" t="n">
        <x:f>C8-B8</x:f>
        <x:v>0.015069980694980667</x:v>
      </x:c>
      <x:c r="F8" t="str">
        <x:v>Quick Ratio</x:v>
      </x:c>
      <x:c r="G8" s="50" t="n">
        <x:f>('Inputs'!B10+'Inputs'!B11+'Inputs'!B13)/'Inputs'!B14</x:f>
        <x:v>1.3414634146341464</x:v>
      </x:c>
      <x:c r="H8" s="50" t="n">
        <x:f>('Inputs'!C10+'Inputs'!C11+'Inputs'!C13)/'Inputs'!C14</x:f>
        <x:v>1.3173076923076923</x:v>
      </x:c>
    </x:row>
    <x:row r="9">
      <x:c r="A9" t="str">
        <x:v>Operating Profit</x:v>
      </x:c>
      <x:c r="B9" s="38" t="n">
        <x:f>B7-'Inputs'!B7</x:f>
        <x:v>2800</x:v>
      </x:c>
      <x:c r="C9" s="38" t="n">
        <x:f>C7-'Inputs'!C7</x:f>
        <x:v>3900</x:v>
      </x:c>
      <x:c r="D9" s="41" t="n">
        <x:f>C9/B9-1</x:f>
        <x:v>0.3928571428571428</x:v>
      </x:c>
      <x:c r="F9" t="str">
        <x:v>Debt / Equity</x:v>
      </x:c>
      <x:c r="G9" s="50" t="n">
        <x:f>'Inputs'!B17/'Inputs'!B16</x:f>
        <x:v>0.5833333333333334</x:v>
      </x:c>
      <x:c r="H9" s="50" t="n">
        <x:f>'Inputs'!C17/'Inputs'!C16</x:f>
        <x:v>0.6071428571428571</x:v>
      </x:c>
    </x:row>
    <x:row r="10">
      <x:c r="A10" t="str">
        <x:v>Operating Margin</x:v>
      </x:c>
      <x:c r="B10" s="40" t="n">
        <x:f>B9/B6</x:f>
        <x:v>0.15135135135135136</x:v>
      </x:c>
      <x:c r="C10" s="40" t="n">
        <x:f>C9/C6</x:f>
        <x:v>0.17410714285714285</x:v>
      </x:c>
      <x:c r="D10" s="41" t="n">
        <x:f>C10-B10</x:f>
        <x:v>0.02275579150579149</x:v>
      </x:c>
      <x:c r="F10" t="str">
        <x:v>ROA</x:v>
      </x:c>
      <x:c r="G10" s="40" t="n">
        <x:f>B11/'Inputs'!B15</x:f>
        <x:v>0.12567567567567567</x:v>
      </x:c>
      <x:c r="H10" s="40" t="n">
        <x:f>C11/'Inputs'!C15</x:f>
        <x:v>0.15227272727272728</x:v>
      </x:c>
    </x:row>
    <x:row r="11">
      <x:c r="A11" t="str">
        <x:v>Net Profit</x:v>
      </x:c>
      <x:c r="B11" s="38" t="n">
        <x:f>B9-'Inputs'!B8-'Inputs'!B9</x:f>
        <x:v>1860</x:v>
      </x:c>
      <x:c r="C11" s="38" t="n">
        <x:f>C9-'Inputs'!C8-'Inputs'!C9</x:f>
        <x:v>2680</x:v>
      </x:c>
      <x:c r="D11" s="41" t="n">
        <x:f>C11/B11-1</x:f>
        <x:v>0.4408602150537635</x:v>
      </x:c>
      <x:c r="F11" t="str">
        <x:v>ROE</x:v>
      </x:c>
      <x:c r="G11" s="40" t="n">
        <x:f>B11/'Inputs'!B16</x:f>
        <x:v>0.25833333333333336</x:v>
      </x:c>
      <x:c r="H11" s="40" t="n">
        <x:f>C11/'Inputs'!C16</x:f>
        <x:v>0.319047619047619</x:v>
      </x:c>
    </x:row>
    <x:row r="12">
      <x:c r="A12" t="str">
        <x:v>Net Margin</x:v>
      </x:c>
      <x:c r="B12" s="40" t="n">
        <x:f>B11/B6</x:f>
        <x:v>0.10054054054054054</x:v>
      </x:c>
      <x:c r="C12" s="40" t="n">
        <x:f>C11/C6</x:f>
        <x:v>0.11964285714285715</x:v>
      </x:c>
      <x:c r="D12" s="41" t="n">
        <x:f>C12-B12</x:f>
        <x:v>0.019102316602316607</x:v>
      </x:c>
    </x:row>
    <x:row r="15">
      <x:c r="A15" s="54" t="str">
        <x:v>Cash Flow Analysis</x:v>
      </x:c>
      <x:c r="B15" s="54"/>
      <x:c r="C15" s="54"/>
      <x:c r="D15" s="54"/>
      <x:c r="F15" s="60" t="str">
        <x:v>Executive Observations</x:v>
      </x:c>
      <x:c r="G15" s="60"/>
      <x:c r="H15" s="60"/>
    </x:row>
    <x:row r="16">
      <x:c r="A16" s="18" t="str">
        <x:v>Metric</x:v>
      </x:c>
      <x:c r="B16" s="18" t="str">
        <x:v>FY2025</x:v>
      </x:c>
      <x:c r="C16" s="18" t="str">
        <x:v>FY2026</x:v>
      </x:c>
      <x:c r="D16" s="18" t="str">
        <x:v>Change</x:v>
      </x:c>
      <x:c r="F16" s="64" t="str">
        <x:v>• Revenue grew year-on-year.
• Working capital expanded as receivables and inventory increased.
• Quick Ratio gives a more conservative liquidity view.
• Positive operating cash flow supports earnings quality.
• Higher CapEx reduced free cash flow.</x:v>
      </x:c>
      <x:c r="G16" s="64"/>
      <x:c r="H16" s="64"/>
    </x:row>
    <x:row r="17">
      <x:c r="A17" t="str">
        <x:v>Operating Cash Flow</x:v>
      </x:c>
      <x:c r="B17" s="38" t="n">
        <x:f>'Inputs'!B18</x:f>
        <x:v>1900</x:v>
      </x:c>
      <x:c r="C17" s="38" t="n">
        <x:f>'Inputs'!C18</x:f>
        <x:v>2600</x:v>
      </x:c>
      <x:c r="D17" s="41" t="n">
        <x:f>C17/B17-1</x:f>
        <x:v>0.368421052631579</x:v>
      </x:c>
      <x:c r="F17" s="64"/>
      <x:c r="G17" s="64"/>
      <x:c r="H17" s="64"/>
    </x:row>
    <x:row r="18">
      <x:c r="A18" t="str">
        <x:v>Capital Expenditure</x:v>
      </x:c>
      <x:c r="B18" s="38" t="n">
        <x:f>'Inputs'!B19</x:f>
        <x:v>900</x:v>
      </x:c>
      <x:c r="C18" s="38" t="n">
        <x:f>'Inputs'!C19</x:f>
        <x:v>1250</x:v>
      </x:c>
      <x:c r="D18" s="41" t="n">
        <x:f>C18/B18-1</x:f>
        <x:v>0.38888888888888884</x:v>
      </x:c>
      <x:c r="F18" s="64"/>
      <x:c r="G18" s="64"/>
      <x:c r="H18" s="64"/>
    </x:row>
    <x:row r="19">
      <x:c r="A19" t="str">
        <x:v>Free Cash Flow</x:v>
      </x:c>
      <x:c r="B19" s="38" t="n">
        <x:f>B17-B18</x:f>
        <x:v>1000</x:v>
      </x:c>
      <x:c r="C19" s="38" t="n">
        <x:f>C17-C18</x:f>
        <x:v>1350</x:v>
      </x:c>
      <x:c r="D19" s="41" t="n">
        <x:f>C19/B19-1</x:f>
        <x:v>0.3500000000000001</x:v>
      </x:c>
      <x:c r="F19" s="64"/>
      <x:c r="G19" s="64"/>
      <x:c r="H19" s="64"/>
    </x:row>
    <x:row r="20">
      <x:c r="A20" t="str">
        <x:v>OCF / Net Profit</x:v>
      </x:c>
      <x:c r="B20" s="50" t="n">
        <x:f>B17/B11</x:f>
        <x:v>1.021505376344086</x:v>
      </x:c>
      <x:c r="C20" s="50" t="n">
        <x:f>C17/C11</x:f>
        <x:v>0.9701492537313433</x:v>
      </x:c>
      <x:c r="D20" s="58" t="n">
        <x:f>C20-B20</x:f>
        <x:v>-0.051356122612742694</x:v>
      </x:c>
      <x:c r="F20" s="64"/>
      <x:c r="G20" s="64"/>
      <x:c r="H20" s="64"/>
    </x:row>
    <x:row r="21">
      <x:c r="F21" s="64"/>
      <x:c r="G21" s="64"/>
      <x:c r="H21" s="64"/>
    </x:row>
  </x:sheetData>
  <x:mergeCells>
    <x:mergeCell ref="A1:H1"/>
    <x:mergeCell ref="A2:H2"/>
    <x:mergeCell ref="A4:D4"/>
    <x:mergeCell ref="F4:H4"/>
    <x:mergeCell ref="A15:D15"/>
    <x:mergeCell ref="F15:H15"/>
    <x:mergeCell ref="F16:H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" hidden="0" customWidth="1"/>
    <x:col min="3" max="3" width="5.630000114440918" hidden="0" customWidth="1"/>
    <x:col min="4" max="4" width="7.130000114440918" hidden="0" customWidth="1"/>
    <x:col min="5" max="5" width="8.880000114440918" hidden="0" customWidth="1"/>
    <x:col min="6" max="6" width="9.630000114440918" hidden="0" customWidth="1"/>
  </x:cols>
  <x:sheetData>
    <x:row r="1" ht="30" customHeight="1">
      <x:c r="A1" s="4" t="str">
        <x:v>Budget vs Actual Report</x:v>
      </x:c>
      <x:c r="B1" s="4"/>
      <x:c r="C1" s="4"/>
      <x:c r="D1" s="4"/>
      <x:c r="E1" s="4"/>
      <x:c r="F1" s="4"/>
    </x:row>
    <x:row r="2">
      <x:c r="A2" t="inlineStr">
        <x:is>
          <x:t>FY2026 | Synthetic portfolio case | Units: SAR '000</x:t>
        </x:is>
      </x:c>
    </x:row>
    <x:row r="3">
      <x:c r="A3" s="18" t="str">
        <x:v>Metric</x:v>
      </x:c>
      <x:c r="B3" s="18" t="str">
        <x:v>Budget</x:v>
      </x:c>
      <x:c r="C3" s="18" t="str">
        <x:v>Actual</x:v>
      </x:c>
      <x:c r="D3" s="18" t="str">
        <x:v>Variance</x:v>
      </x:c>
      <x:c r="E3" s="18" t="str">
        <x:v>Variance %</x:v>
      </x:c>
      <x:c r="F3" s="18" t="str">
        <x:v>Assessment</x:v>
      </x:c>
    </x:row>
    <x:row r="4">
      <x:c r="A4" t="str">
        <x:v>Revenue</x:v>
      </x:c>
      <x:c r="B4" s="38" t="n">
        <x:f>'Inputs'!D5</x:f>
        <x:v>23000</x:v>
      </x:c>
      <x:c r="C4" s="38" t="n">
        <x:f>'Inputs'!C5</x:f>
        <x:v>22400</x:v>
      </x:c>
      <x:c r="D4" s="68" t="n">
        <x:f>C4-B4</x:f>
        <x:v>-600</x:v>
      </x:c>
      <x:c r="E4" s="41" t="n">
        <x:f>D4/B4</x:f>
        <x:v>-0.02608695652173913</x:v>
      </x:c>
      <x:c r="F4" t="str">
        <x:f>IF(D4&gt;=0,"Favorable","Unfavorable")</x:f>
        <x:v>Unfavorable</x:v>
      </x:c>
    </x:row>
    <x:row r="5">
      <x:c r="A5" t="str">
        <x:v>COGS</x:v>
      </x:c>
      <x:c r="B5" s="38" t="n">
        <x:f>'Inputs'!D6</x:f>
        <x:v>14100</x:v>
      </x:c>
      <x:c r="C5" s="38" t="n">
        <x:f>'Inputs'!C6</x:f>
        <x:v>13950</x:v>
      </x:c>
      <x:c r="D5" s="68" t="n">
        <x:f>B5-C5</x:f>
        <x:v>150</x:v>
      </x:c>
      <x:c r="E5" s="41" t="n">
        <x:f>(B5-C5)/B5</x:f>
        <x:v>0.010638297872340425</x:v>
      </x:c>
      <x:c r="F5" t="str">
        <x:f>IF(D5&gt;=0,"Favorable","Unfavorable")</x:f>
        <x:v>Favorable</x:v>
      </x:c>
    </x:row>
    <x:row r="6">
      <x:c r="A6" t="str">
        <x:v>Operating Expenses</x:v>
      </x:c>
      <x:c r="B6" s="38" t="n">
        <x:f>'Inputs'!D7</x:f>
        <x:v>4300</x:v>
      </x:c>
      <x:c r="C6" s="38" t="n">
        <x:f>'Inputs'!C7</x:f>
        <x:v>4550</x:v>
      </x:c>
      <x:c r="D6" s="68" t="n">
        <x:f>B6-C6</x:f>
        <x:v>-250</x:v>
      </x:c>
      <x:c r="E6" s="41" t="n">
        <x:f>(B6-C6)/B6</x:f>
        <x:v>-0.05813953488372093</x:v>
      </x:c>
      <x:c r="F6" t="str">
        <x:f>IF(D6&gt;=0,"Favorable","Unfavorable")</x:f>
        <x:v>Unfavorable</x:v>
      </x:c>
    </x:row>
    <x:row r="7">
      <x:c r="A7" t="str">
        <x:v>Operating Profit</x:v>
      </x:c>
      <x:c r="B7" s="38" t="n">
        <x:f>'Inputs'!D5-'Inputs'!D6-'Inputs'!D7</x:f>
        <x:v>4600</x:v>
      </x:c>
      <x:c r="C7" s="38" t="n">
        <x:f>'Inputs'!C5-'Inputs'!C6-'Inputs'!C7</x:f>
        <x:v>3900</x:v>
      </x:c>
      <x:c r="D7" s="68" t="n">
        <x:f>C7-B7</x:f>
        <x:v>-700</x:v>
      </x:c>
      <x:c r="E7" s="41" t="n">
        <x:f>D7/B7</x:f>
        <x:v>-0.15217391304347827</x:v>
      </x:c>
      <x:c r="F7" t="str">
        <x:f>IF(D7&gt;=0,"Favorable","Unfavorable")</x:f>
        <x:v>Unfavorable</x:v>
      </x:c>
    </x:row>
    <x:row r="8">
      <x:c r="A8" t="str">
        <x:v>Operating Cash Flow</x:v>
      </x:c>
      <x:c r="B8" s="38" t="n">
        <x:f>'Inputs'!D18</x:f>
        <x:v>2800</x:v>
      </x:c>
      <x:c r="C8" s="38" t="n">
        <x:f>'Inputs'!C18</x:f>
        <x:v>2600</x:v>
      </x:c>
      <x:c r="D8" s="68" t="n">
        <x:f>C8-B8</x:f>
        <x:v>-200</x:v>
      </x:c>
      <x:c r="E8" s="41" t="n">
        <x:f>D8/B8</x:f>
        <x:v>-0.07142857142857142</x:v>
      </x:c>
      <x:c r="F8" t="str">
        <x:f>IF(D8&gt;=0,"Favorable","Unfavorable")</x:f>
        <x:v>Unfavorable</x:v>
      </x:c>
    </x:row>
  </x:sheetData>
  <x:mergeCells>
    <x:mergeCell ref="A1:F1"/>
  </x:mergeCells>
  <x:conditionalFormatting sqref="F4:F8">
    <x:cfRule type="expression" dxfId="0" priority="1">
      <x:formula>F4="Favorable"</x:formula>
    </x:cfRule>
    <x:cfRule type="expression" dxfId="1" priority="2">
      <x:formula>F4="Unfavorable"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25" hidden="0" customWidth="1"/>
    <x:col min="3" max="3" width="14.630000114440918" hidden="0" customWidth="1"/>
    <x:col min="4" max="4" width="11.880000114440918" hidden="0" customWidth="1"/>
    <x:col min="5" max="5" width="16.3799991607666" hidden="0" customWidth="1"/>
    <x:col min="6" max="6" width="14.5" hidden="0" customWidth="1"/>
    <x:col min="7" max="7" width="15.130000114440918" hidden="0" customWidth="1"/>
    <x:col min="8" max="8" width="17.8799991607666" hidden="0" customWidth="1"/>
  </x:cols>
  <x:sheetData>
    <x:row r="1" ht="30" customHeight="1">
      <x:c r="A1" s="4" t="str">
        <x:v>Cost &amp; Profitability Analysis – Product Portfolio</x:v>
      </x:c>
      <x:c r="B1" s="4"/>
      <x:c r="C1" s="4"/>
      <x:c r="D1" s="4"/>
      <x:c r="E1" s="4"/>
      <x:c r="F1" s="4"/>
      <x:c r="G1" s="4"/>
      <x:c r="H1" s="4"/>
    </x:row>
    <x:row r="2">
      <x:c r="A2" t="inlineStr">
        <x:is>
          <x:t>Synthetic product model | Monetary values: SAR | Quantities: units</x:t>
        </x:is>
      </x:c>
    </x:row>
    <x:row r="3">
      <x:c r="A3" s="18" t="str">
        <x:v>Product</x:v>
      </x:c>
      <x:c r="B3" s="18" t="str">
        <x:v>Units Sold</x:v>
      </x:c>
      <x:c r="C3" s="18" t="str">
        <x:v>Selling Price / Unit</x:v>
      </x:c>
      <x:c r="D3" s="18" t="str">
        <x:v>Material / Unit</x:v>
      </x:c>
      <x:c r="E3" s="18" t="str">
        <x:v>Labor / Unit</x:v>
      </x:c>
      <x:c r="F3" s="18" t="str">
        <x:v>Variable OH / Unit</x:v>
      </x:c>
      <x:c r="G3" s="18" t="str">
        <x:v>Contribution / Unit</x:v>
      </x:c>
      <x:c r="H3" s="18" t="str">
        <x:v>Contribution Margin %</x:v>
      </x:c>
    </x:row>
    <x:row r="4">
      <x:c r="A4" t="str">
        <x:v>Product A</x:v>
      </x:c>
      <x:c r="B4" s="26" t="n">
        <x:v>12000</x:v>
      </x:c>
      <x:c r="C4" s="26" t="n">
        <x:v>85</x:v>
      </x:c>
      <x:c r="D4" s="26" t="n">
        <x:v>38</x:v>
      </x:c>
      <x:c r="E4" s="26" t="n">
        <x:v>12</x:v>
      </x:c>
      <x:c r="F4" s="26" t="n">
        <x:v>7</x:v>
      </x:c>
      <x:c r="G4" s="68" t="n">
        <x:f>C4-D4-E4-F4</x:f>
        <x:v>28</x:v>
      </x:c>
      <x:c r="H4" s="41" t="n">
        <x:f>G4/C4</x:f>
        <x:v>0.32941176470588235</x:v>
      </x:c>
    </x:row>
    <x:row r="5">
      <x:c r="A5" t="str">
        <x:v>Product B</x:v>
      </x:c>
      <x:c r="B5" s="26" t="n">
        <x:v>8500</x:v>
      </x:c>
      <x:c r="C5" s="26" t="n">
        <x:v>120</x:v>
      </x:c>
      <x:c r="D5" s="26" t="n">
        <x:v>52</x:v>
      </x:c>
      <x:c r="E5" s="26" t="n">
        <x:v>18</x:v>
      </x:c>
      <x:c r="F5" s="26" t="n">
        <x:v>10</x:v>
      </x:c>
      <x:c r="G5" s="68" t="n">
        <x:f>C5-D5-E5-F5</x:f>
        <x:v>40</x:v>
      </x:c>
      <x:c r="H5" s="41" t="n">
        <x:f>G5/C5</x:f>
        <x:v>0.3333333333333333</x:v>
      </x:c>
    </x:row>
    <x:row r="6">
      <x:c r="A6" t="str">
        <x:v>Product C</x:v>
      </x:c>
      <x:c r="B6" s="26" t="n">
        <x:v>6000</x:v>
      </x:c>
      <x:c r="C6" s="26" t="n">
        <x:v>165</x:v>
      </x:c>
      <x:c r="D6" s="26" t="n">
        <x:v>78</x:v>
      </x:c>
      <x:c r="E6" s="26" t="n">
        <x:v>22</x:v>
      </x:c>
      <x:c r="F6" s="26" t="n">
        <x:v>14</x:v>
      </x:c>
      <x:c r="G6" s="68" t="n">
        <x:f>C6-D6-E6-F6</x:f>
        <x:v>51</x:v>
      </x:c>
      <x:c r="H6" s="41" t="n">
        <x:f>G6/C6</x:f>
        <x:v>0.3090909090909091</x:v>
      </x:c>
    </x:row>
    <x:row r="7">
      <x:c r="A7" t="str">
        <x:v>Product D</x:v>
      </x:c>
      <x:c r="B7" s="26" t="n">
        <x:v>15000</x:v>
      </x:c>
      <x:c r="C7" s="26" t="n">
        <x:v>60</x:v>
      </x:c>
      <x:c r="D7" s="26" t="n">
        <x:v>25</x:v>
      </x:c>
      <x:c r="E7" s="26" t="n">
        <x:v>9</x:v>
      </x:c>
      <x:c r="F7" s="26" t="n">
        <x:v>6</x:v>
      </x:c>
      <x:c r="G7" s="68" t="n">
        <x:f>C7-D7-E7-F7</x:f>
        <x:v>20</x:v>
      </x:c>
      <x:c r="H7" s="41" t="n">
        <x:f>G7/C7</x:f>
        <x:v>0.3333333333333333</x:v>
      </x:c>
    </x:row>
    <x:row r="10">
      <x:c r="A10" s="18" t="str">
        <x:v>Product</x:v>
      </x:c>
      <x:c r="B10" s="18" t="str">
        <x:v>Revenue</x:v>
      </x:c>
      <x:c r="C10" s="18" t="str">
        <x:v>Variable Cost</x:v>
      </x:c>
      <x:c r="D10" s="18" t="str">
        <x:v>Contribution</x:v>
      </x:c>
      <x:c r="E10" s="18" t="str">
        <x:v>Fixed Cost Allocation</x:v>
      </x:c>
      <x:c r="F10" s="18" t="str">
        <x:v>Operating Profit</x:v>
      </x:c>
    </x:row>
    <x:row r="11">
      <x:c r="A11" t="str">
        <x:f>A4</x:f>
        <x:v>Product A</x:v>
      </x:c>
      <x:c r="B11" s="68" t="n">
        <x:f>B4*C4</x:f>
        <x:v>1020000</x:v>
      </x:c>
      <x:c r="C11" s="68" t="n">
        <x:f>B4*(D4+E4+F4)</x:f>
        <x:v>684000</x:v>
      </x:c>
      <x:c r="D11" s="68" t="n">
        <x:f>B11-C11</x:f>
        <x:v>336000</x:v>
      </x:c>
      <x:c r="E11" s="26" t="n">
        <x:v>210000</x:v>
      </x:c>
      <x:c r="F11" s="68" t="n">
        <x:f>D11-E11</x:f>
        <x:v>126000</x:v>
      </x:c>
    </x:row>
    <x:row r="12">
      <x:c r="A12" t="str">
        <x:f>A5</x:f>
        <x:v>Product B</x:v>
      </x:c>
      <x:c r="B12" s="68" t="n">
        <x:f>B5*C5</x:f>
        <x:v>1020000</x:v>
      </x:c>
      <x:c r="C12" s="68" t="n">
        <x:f>B5*(D5+E5+F5)</x:f>
        <x:v>680000</x:v>
      </x:c>
      <x:c r="D12" s="68" t="n">
        <x:f>B12-C12</x:f>
        <x:v>340000</x:v>
      </x:c>
      <x:c r="E12" s="26" t="n">
        <x:v>190000</x:v>
      </x:c>
      <x:c r="F12" s="68" t="n">
        <x:f>D12-E12</x:f>
        <x:v>150000</x:v>
      </x:c>
    </x:row>
    <x:row r="13">
      <x:c r="A13" t="str">
        <x:f>A6</x:f>
        <x:v>Product C</x:v>
      </x:c>
      <x:c r="B13" s="68" t="n">
        <x:f>B6*C6</x:f>
        <x:v>990000</x:v>
      </x:c>
      <x:c r="C13" s="68" t="n">
        <x:f>B6*(D6+E6+F6)</x:f>
        <x:v>684000</x:v>
      </x:c>
      <x:c r="D13" s="68" t="n">
        <x:f>B13-C13</x:f>
        <x:v>306000</x:v>
      </x:c>
      <x:c r="E13" s="26" t="n">
        <x:v>175000</x:v>
      </x:c>
      <x:c r="F13" s="68" t="n">
        <x:f>D13-E13</x:f>
        <x:v>131000</x:v>
      </x:c>
    </x:row>
    <x:row r="14">
      <x:c r="A14" t="str">
        <x:f>A7</x:f>
        <x:v>Product D</x:v>
      </x:c>
      <x:c r="B14" s="68" t="n">
        <x:f>B7*C7</x:f>
        <x:v>900000</x:v>
      </x:c>
      <x:c r="C14" s="68" t="n">
        <x:f>B7*(D7+E7+F7)</x:f>
        <x:v>600000</x:v>
      </x:c>
      <x:c r="D14" s="68" t="n">
        <x:f>B14-C14</x:f>
        <x:v>300000</x:v>
      </x:c>
      <x:c r="E14" s="26" t="n">
        <x:v>225000</x:v>
      </x:c>
      <x:c r="F14" s="68" t="n">
        <x:f>D14-E14</x:f>
        <x:v>75000</x:v>
      </x:c>
    </x:row>
    <x:row r="16">
      <x:c r="A16" s="70" t="str">
        <x:v>Total</x:v>
      </x:c>
      <x:c r="B16" s="72" t="n">
        <x:f>SUM(B11:B14)</x:f>
        <x:v>3930000</x:v>
      </x:c>
      <x:c r="C16" s="72" t="n">
        <x:f>SUM(C11:C14)</x:f>
        <x:v>2648000</x:v>
      </x:c>
      <x:c r="D16" s="72" t="n">
        <x:f>SUM(D11:D14)</x:f>
        <x:v>1282000</x:v>
      </x:c>
      <x:c r="E16" s="72" t="n">
        <x:f>SUM(E11:E14)</x:f>
        <x:v>800000</x:v>
      </x:c>
      <x:c r="F16" s="72" t="n">
        <x:f>SUM(F11:F14)</x:f>
        <x:v>482000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6.5" hidden="0" customWidth="1"/>
    <x:col min="2" max="2" width="34" hidden="0" customWidth="1"/>
    <x:col min="3" max="3" width="34" hidden="0" customWidth="1"/>
    <x:col min="4" max="4" width="17.25" hidden="0" customWidth="1"/>
    <x:col min="5" max="5" width="8.880000114440918" hidden="0" customWidth="1"/>
    <x:col min="6" max="6" width="34" hidden="0" customWidth="1"/>
    <x:col min="7" max="7" width="16.1299991607666" hidden="0" customWidth="1"/>
  </x:cols>
  <x:sheetData>
    <x:row r="1" ht="30" customHeight="1">
      <x:c r="A1" s="4" t="str">
        <x:v>Internal Control Assessment – Risks → Controls → Recommendations</x:v>
      </x:c>
      <x:c r="B1" s="4"/>
      <x:c r="C1" s="4"/>
      <x:c r="D1" s="4"/>
      <x:c r="E1" s="4"/>
      <x:c r="F1" s="4"/>
      <x:c r="G1" s="4"/>
    </x:row>
    <x:row r="3">
      <x:c r="A3" s="18" t="str">
        <x:v>Process</x:v>
      </x:c>
      <x:c r="B3" s="18" t="str">
        <x:v>Risk</x:v>
      </x:c>
      <x:c r="C3" s="18" t="str">
        <x:v>Existing Control</x:v>
      </x:c>
      <x:c r="D3" s="18" t="str">
        <x:v>Control Type</x:v>
      </x:c>
      <x:c r="E3" s="18" t="str">
        <x:v>Risk Level</x:v>
      </x:c>
      <x:c r="F3" s="18" t="str">
        <x:v>Recommendation</x:v>
      </x:c>
      <x:c r="G3" s="18" t="str">
        <x:v>Owner</x:v>
      </x:c>
    </x:row>
    <x:row r="4">
      <x:c r="A4" s="74" t="str">
        <x:v>Procure-to-Pay</x:v>
      </x:c>
      <x:c r="B4" s="74" t="str">
        <x:v>Duplicate supplier payment</x:v>
      </x:c>
      <x:c r="C4" s="74" t="str">
        <x:v>System blocks duplicate invoice number; duplicate-payment report reviewed</x:v>
      </x:c>
      <x:c r="D4" s="74" t="str">
        <x:v>Preventive + Detective</x:v>
      </x:c>
      <x:c r="E4" s="74" t="str">
        <x:v>Medium</x:v>
      </x:c>
      <x:c r="F4" s="74" t="str">
        <x:v>Add automated duplicate check using supplier + amount + date and monthly exception follow-up</x:v>
      </x:c>
      <x:c r="G4" s="74" t="str">
        <x:v>AP Supervisor</x:v>
      </x:c>
    </x:row>
    <x:row r="5">
      <x:c r="A5" s="74" t="str">
        <x:v>Revenue / AR</x:v>
      </x:c>
      <x:c r="B5" s="74" t="str">
        <x:v>Sales recorded without valid approval</x:v>
      </x:c>
      <x:c r="C5" s="74" t="str">
        <x:v>Sales order approval workflow and credit limit controls</x:v>
      </x:c>
      <x:c r="D5" s="74" t="str">
        <x:v>Preventive</x:v>
      </x:c>
      <x:c r="E5" s="74" t="str">
        <x:v>Medium</x:v>
      </x:c>
      <x:c r="F5" s="74" t="str">
        <x:v>Quarterly access review and exception report for overridden credit limits</x:v>
      </x:c>
      <x:c r="G5" s="74" t="str">
        <x:v>AR Manager</x:v>
      </x:c>
    </x:row>
    <x:row r="6">
      <x:c r="A6" s="74" t="str">
        <x:v>Inventory</x:v>
      </x:c>
      <x:c r="B6" s="74" t="str">
        <x:v>Inventory shrinkage or inaccurate stock</x:v>
      </x:c>
      <x:c r="C6" s="74" t="str">
        <x:v>Restricted warehouse access and cycle counts</x:v>
      </x:c>
      <x:c r="D6" s="74" t="str">
        <x:v>Preventive + Detective</x:v>
      </x:c>
      <x:c r="E6" s="74" t="str">
        <x:v>High</x:v>
      </x:c>
      <x:c r="F6" s="74" t="str">
        <x:v>Introduce ABC cycle-count frequency, variance thresholds and root-cause tracking</x:v>
      </x:c>
      <x:c r="G6" s="74" t="str">
        <x:v>Warehouse Manager</x:v>
      </x:c>
    </x:row>
    <x:row r="7">
      <x:c r="A7" s="74" t="str">
        <x:v>Cash / Treasury</x:v>
      </x:c>
      <x:c r="B7" s="74" t="str">
        <x:v>Unauthorized bank payment</x:v>
      </x:c>
      <x:c r="C7" s="74" t="str">
        <x:v>Maker-checker workflow and bank authorization matrix</x:v>
      </x:c>
      <x:c r="D7" s="74" t="str">
        <x:v>Preventive</x:v>
      </x:c>
      <x:c r="E7" s="74" t="str">
        <x:v>High</x:v>
      </x:c>
      <x:c r="F7" s="74" t="str">
        <x:v>Review bank users quarterly; require dual approval above threshold</x:v>
      </x:c>
      <x:c r="G7" s="74" t="str">
        <x:v>Finance Manager</x:v>
      </x:c>
    </x:row>
    <x:row r="8">
      <x:c r="A8" s="74" t="str">
        <x:v>Financial Close</x:v>
      </x:c>
      <x:c r="B8" s="74" t="str">
        <x:v>Material errors remain undetected</x:v>
      </x:c>
      <x:c r="C8" s="74" t="str">
        <x:v>Balance-sheet reconciliations and management review</x:v>
      </x:c>
      <x:c r="D8" s="74" t="str">
        <x:v>Detective</x:v>
      </x:c>
      <x:c r="E8" s="74" t="str">
        <x:v>Medium</x:v>
      </x:c>
      <x:c r="F8" s="74" t="str">
        <x:v>Formal close checklist, aging of reconciling items and sign-off deadlines</x:v>
      </x:c>
      <x:c r="G8" s="74" t="str">
        <x:v>Chief Accountant</x:v>
      </x:c>
    </x:row>
    <x:row r="9">
      <x:c r="A9" s="74" t="str">
        <x:v>Master Data</x:v>
      </x:c>
      <x:c r="B9" s="74" t="str">
        <x:v>Unauthorized vendor master changes</x:v>
      </x:c>
      <x:c r="C9" s="74" t="str">
        <x:v>Limited access to vendor master</x:v>
      </x:c>
      <x:c r="D9" s="74" t="str">
        <x:v>Preventive</x:v>
      </x:c>
      <x:c r="E9" s="74" t="str">
        <x:v>High</x:v>
      </x:c>
      <x:c r="F9" s="74" t="str">
        <x:v>Independent approval of bank-detail changes plus change-log review</x:v>
      </x:c>
      <x:c r="G9" s="74" t="str">
        <x:v>Finance Controller</x:v>
      </x:c>
    </x:row>
  </x:sheetData>
  <x:mergeCells>
    <x:mergeCell ref="A1:G1"/>
  </x:mergeCells>
  <x:conditionalFormatting sqref="E4:E9">
    <x:cfRule type="expression" dxfId="2" priority="1">
      <x:formula>E4="High"</x:formula>
    </x:cfRule>
    <x:cfRule type="expression" dxfId="3" priority="2">
      <x:formula>E4="Medium"</x:formula>
    </x:cfRule>
    <x:cfRule type="expression" dxfId="4" priority="3">
      <x:formula>E4="Low"</x:formula>
    </x:cfRule>
  </x:conditionalFormatting>
  <x:dataValidations count="1">
    <x:dataValidation type="list" sqref="E4:E9">
      <x:formula1>"Low,Medium,High"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4" t="str">
        <x:v>Management Dashboard – FY2026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29" t="inlineStr">
        <x:is>
          <x:t>Illustrative executive dashboard | Units: SAR '000 | Synthetic portfolio case</x:t>
        </x:is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4">
      <x:c r="A4" s="76" t="str">
        <x:v>Revenue</x:v>
      </x:c>
      <x:c r="B4" s="76"/>
      <x:c r="C4" s="76"/>
      <x:c r="D4" s="76" t="str">
        <x:v>Net Profit</x:v>
      </x:c>
      <x:c r="E4" s="76"/>
      <x:c r="F4" s="76"/>
      <x:c r="G4" s="76" t="str">
        <x:v>Operating Cash Flow</x:v>
      </x:c>
      <x:c r="H4" s="76"/>
      <x:c r="I4" s="76"/>
      <x:c r="J4" s="76" t="str">
        <x:v>Working Capital</x:v>
      </x:c>
      <x:c r="K4" s="76"/>
      <x:c r="L4" s="76"/>
    </x:row>
    <x:row r="5">
      <x:c r="A5" s="81" t="n">
        <x:f>'Inputs'!C5</x:f>
        <x:v>22400</x:v>
      </x:c>
      <x:c r="B5" s="81"/>
      <x:c r="C5" s="81"/>
      <x:c r="D5" s="90" t="n">
        <x:f>'Financial Analysis'!C11</x:f>
        <x:v>2680</x:v>
      </x:c>
      <x:c r="E5" s="90"/>
      <x:c r="F5" s="90"/>
      <x:c r="G5" s="99" t="n">
        <x:f>'Inputs'!C18</x:f>
        <x:v>2600</x:v>
      </x:c>
      <x:c r="H5" s="99"/>
      <x:c r="I5" s="99"/>
      <x:c r="J5" s="108" t="n">
        <x:f>'Financial Analysis'!H6</x:f>
        <x:v>5150</x:v>
      </x:c>
      <x:c r="K5" s="108"/>
      <x:c r="L5" s="108"/>
    </x:row>
    <x:row r="6">
      <x:c r="A6" s="81"/>
      <x:c r="B6" s="81"/>
      <x:c r="C6" s="81"/>
      <x:c r="D6" s="90"/>
      <x:c r="E6" s="90"/>
      <x:c r="F6" s="90"/>
      <x:c r="G6" s="99"/>
      <x:c r="H6" s="99"/>
      <x:c r="I6" s="99"/>
      <x:c r="J6" s="108"/>
      <x:c r="K6" s="108"/>
      <x:c r="L6" s="108"/>
    </x:row>
    <x:row r="9">
      <x:c r="A9" s="18" t="str">
        <x:v>KPI</x:v>
      </x:c>
      <x:c r="B9" s="18" t="str">
        <x:v>FY2025</x:v>
      </x:c>
      <x:c r="C9" s="18" t="str">
        <x:v>FY2026</x:v>
      </x:c>
      <x:c r="D9" s="18" t="str">
        <x:v>Trend</x:v>
      </x:c>
      <x:c r="F9" s="18" t="str">
        <x:v>Metric</x:v>
      </x:c>
      <x:c r="G9" s="18" t="str">
        <x:v>FY2025</x:v>
      </x:c>
      <x:c r="H9" s="18" t="str">
        <x:v>FY2026</x:v>
      </x:c>
    </x:row>
    <x:row r="10">
      <x:c r="A10" t="str">
        <x:v>Gross Margin</x:v>
      </x:c>
      <x:c r="B10" s="40" t="n">
        <x:f>'Financial Analysis'!B8</x:f>
        <x:v>0.3621621621621622</x:v>
      </x:c>
      <x:c r="C10" s="40" t="n">
        <x:f>'Financial Analysis'!C8</x:f>
        <x:v>0.37723214285714285</x:v>
      </x:c>
      <x:c r="D10" s="41" t="n">
        <x:f>C10-B10</x:f>
        <x:v>0.015069980694980667</x:v>
      </x:c>
      <x:c r="F10" t="str">
        <x:v>Revenue</x:v>
      </x:c>
      <x:c r="G10" s="38" t="n">
        <x:f>'Inputs'!B5</x:f>
        <x:v>18500</x:v>
      </x:c>
      <x:c r="H10" s="38" t="n">
        <x:f>'Inputs'!C5</x:f>
        <x:v>22400</x:v>
      </x:c>
    </x:row>
    <x:row r="11">
      <x:c r="A11" t="str">
        <x:v>Operating Margin</x:v>
      </x:c>
      <x:c r="B11" s="40" t="n">
        <x:f>'Financial Analysis'!B10</x:f>
        <x:v>0.15135135135135136</x:v>
      </x:c>
      <x:c r="C11" s="40" t="n">
        <x:f>'Financial Analysis'!C10</x:f>
        <x:v>0.17410714285714285</x:v>
      </x:c>
      <x:c r="D11" s="41" t="n">
        <x:f>C11-B11</x:f>
        <x:v>0.02275579150579149</x:v>
      </x:c>
      <x:c r="F11" t="str">
        <x:v>Gross Profit</x:v>
      </x:c>
      <x:c r="G11" s="38" t="n">
        <x:f>'Financial Analysis'!B7</x:f>
        <x:v>6700</x:v>
      </x:c>
      <x:c r="H11" s="38" t="n">
        <x:f>'Financial Analysis'!C7</x:f>
        <x:v>8450</x:v>
      </x:c>
    </x:row>
    <x:row r="12">
      <x:c r="A12" t="str">
        <x:v>Net Margin</x:v>
      </x:c>
      <x:c r="B12" s="40" t="n">
        <x:f>'Financial Analysis'!B12</x:f>
        <x:v>0.10054054054054054</x:v>
      </x:c>
      <x:c r="C12" s="40" t="n">
        <x:f>'Financial Analysis'!C12</x:f>
        <x:v>0.11964285714285715</x:v>
      </x:c>
      <x:c r="D12" s="41" t="n">
        <x:f>C12-B12</x:f>
        <x:v>0.019102316602316607</x:v>
      </x:c>
      <x:c r="F12" t="str">
        <x:v>Operating Cash Flow</x:v>
      </x:c>
      <x:c r="G12" s="38" t="n">
        <x:f>'Inputs'!B18</x:f>
        <x:v>1900</x:v>
      </x:c>
      <x:c r="H12" s="38" t="n">
        <x:f>'Inputs'!C18</x:f>
        <x:v>2600</x:v>
      </x:c>
    </x:row>
    <x:row r="13">
      <x:c r="A13" t="str">
        <x:v>Current Ratio</x:v>
      </x:c>
      <x:c r="B13" s="50" t="n">
        <x:f>'Financial Analysis'!G7</x:f>
        <x:v>2</x:v>
      </x:c>
      <x:c r="C13" s="50" t="n">
        <x:f>'Financial Analysis'!H7</x:f>
        <x:v>1.9903846153846154</x:v>
      </x:c>
      <x:c r="D13" s="58" t="n">
        <x:f>C13-B13</x:f>
        <x:v>-0.009615384615384581</x:v>
      </x:c>
    </x:row>
    <x:row r="14">
      <x:c r="A14" t="str">
        <x:v>Quick Ratio</x:v>
      </x:c>
      <x:c r="B14" s="50" t="n">
        <x:f>'Financial Analysis'!G8</x:f>
        <x:v>1.3414634146341464</x:v>
      </x:c>
      <x:c r="C14" s="50" t="n">
        <x:f>'Financial Analysis'!H8</x:f>
        <x:v>1.3173076923076923</x:v>
      </x:c>
      <x:c r="D14" s="58" t="n">
        <x:f>C14-B14</x:f>
        <x:v>-0.024155722326454132</x:v>
      </x:c>
    </x:row>
    <x:row r="15">
      <x:c r="A15" t="str">
        <x:v>ROE</x:v>
      </x:c>
      <x:c r="B15" s="40" t="n">
        <x:f>'Financial Analysis'!G11</x:f>
        <x:v>0.25833333333333336</x:v>
      </x:c>
      <x:c r="C15" s="40" t="n">
        <x:f>'Financial Analysis'!H11</x:f>
        <x:v>0.319047619047619</x:v>
      </x:c>
      <x:c r="D15" s="41" t="n">
        <x:f>C15-B15</x:f>
        <x:v>0.060714285714285665</x:v>
      </x:c>
    </x:row>
    <x:row r="19">
      <x:c r="A19" s="18" t="str">
        <x:v>Metric</x:v>
      </x:c>
      <x:c r="B19" s="18" t="str">
        <x:v>Budget</x:v>
      </x:c>
      <x:c r="C19" s="18" t="str">
        <x:v>Actual</x:v>
      </x:c>
    </x:row>
    <x:row r="20">
      <x:c r="A20" t="str">
        <x:v>Revenue</x:v>
      </x:c>
      <x:c r="B20" s="38" t="n">
        <x:f>'Inputs'!D5</x:f>
        <x:v>23000</x:v>
      </x:c>
      <x:c r="C20" s="38" t="n">
        <x:f>'Inputs'!C5</x:f>
        <x:v>22400</x:v>
      </x:c>
    </x:row>
    <x:row r="21">
      <x:c r="A21" t="str">
        <x:v>COGS</x:v>
      </x:c>
      <x:c r="B21" s="38" t="n">
        <x:f>'Inputs'!D6</x:f>
        <x:v>14100</x:v>
      </x:c>
      <x:c r="C21" s="38" t="n">
        <x:f>'Inputs'!C6</x:f>
        <x:v>13950</x:v>
      </x:c>
    </x:row>
    <x:row r="22">
      <x:c r="A22" t="str">
        <x:v>Operating Expenses</x:v>
      </x:c>
      <x:c r="B22" s="38" t="n">
        <x:f>'Inputs'!D7</x:f>
        <x:v>4300</x:v>
      </x:c>
      <x:c r="C22" s="38" t="n">
        <x:f>'Inputs'!C7</x:f>
        <x:v>4550</x:v>
      </x:c>
    </x:row>
    <x:row r="23">
      <x:c r="A23" t="str">
        <x:v>Operating Cash Flow</x:v>
      </x:c>
      <x:c r="B23" s="38" t="n">
        <x:f>'Inputs'!D18</x:f>
        <x:v>2800</x:v>
      </x:c>
      <x:c r="C23" s="38" t="n">
        <x:f>'Inputs'!C18</x:f>
        <x:v>2600</x:v>
      </x:c>
    </x:row>
    <x:row r="41">
      <x:c r="A41" s="33" t="str">
        <x:v>Management Commentary</x:v>
      </x:c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64" t="str">
        <x:v>Revenue increased versus prior year but finished slightly below budget. Operating expenses exceeded budget, pressuring operating margin. Liquidity remains positive; however, inventory and receivables growth should be monitored closely. Operating cash flow is positive but below budget, while higher capital expenditure reduces free cash flow. Management focus: collections, inventory turns, discretionary Opex and cash conversion.</x:v>
      </x:c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41:L41"/>
    <x:mergeCell ref="A42:L46"/>
  </x:mergeCells>
  <x:pageMargins left="0.7" right="0.7" top="0.75" bottom="0.75" header="0.3" footer="0.3"/>
  <x:drawing xmlns:r="http://schemas.openxmlformats.org/officeDocument/2006/relationships" r:id="R81d1f2ac8a124327"/>
</x:worksheet>
</file>